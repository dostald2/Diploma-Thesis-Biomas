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dejvi/Documents/GitHub/Diploma-Thesis-Biomas/"/>
    </mc:Choice>
  </mc:AlternateContent>
  <xr:revisionPtr revIDLastSave="0" documentId="13_ncr:1_{1FCF7BB4-83B1-E74C-A244-4E99FEF5A9AD}" xr6:coauthVersionLast="47" xr6:coauthVersionMax="47" xr10:uidLastSave="{00000000-0000-0000-0000-000000000000}"/>
  <bookViews>
    <workbookView xWindow="30240" yWindow="-1960" windowWidth="38400" windowHeight="21600" xr2:uid="{00000000-000D-0000-FFFF-FFFF00000000}"/>
  </bookViews>
  <sheets>
    <sheet name="Výnosové křivky RR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6" i="1" l="1"/>
  <c r="Y26" i="1"/>
  <c r="V26" i="1"/>
  <c r="S26" i="1"/>
  <c r="P26" i="1"/>
  <c r="M26" i="1"/>
  <c r="J26" i="1"/>
  <c r="Y24" i="1"/>
  <c r="V24" i="1"/>
  <c r="S24" i="1"/>
  <c r="P24" i="1"/>
  <c r="M24" i="1"/>
  <c r="J24" i="1"/>
  <c r="G24" i="1"/>
  <c r="Y22" i="1"/>
  <c r="V22" i="1"/>
  <c r="S22" i="1"/>
  <c r="P22" i="1"/>
  <c r="M22" i="1"/>
  <c r="J22" i="1"/>
  <c r="G22" i="1"/>
  <c r="G14" i="1"/>
  <c r="J14" i="1"/>
  <c r="M14" i="1"/>
  <c r="P14" i="1"/>
  <c r="S14" i="1"/>
  <c r="V14" i="1"/>
  <c r="Y14" i="1"/>
  <c r="G15" i="1"/>
  <c r="J15" i="1"/>
  <c r="M15" i="1"/>
  <c r="P15" i="1"/>
  <c r="S15" i="1"/>
  <c r="V15" i="1"/>
  <c r="Y15" i="1"/>
  <c r="G16" i="1"/>
  <c r="J16" i="1"/>
  <c r="M16" i="1"/>
  <c r="P16" i="1"/>
  <c r="S16" i="1"/>
  <c r="V16" i="1"/>
  <c r="Y16" i="1"/>
  <c r="G17" i="1"/>
  <c r="J17" i="1"/>
  <c r="M17" i="1"/>
  <c r="P17" i="1"/>
  <c r="S17" i="1"/>
  <c r="V17" i="1"/>
  <c r="Y17" i="1"/>
  <c r="G18" i="1"/>
  <c r="J18" i="1"/>
  <c r="M18" i="1"/>
  <c r="P18" i="1"/>
  <c r="S18" i="1"/>
  <c r="V18" i="1"/>
  <c r="Y18" i="1"/>
  <c r="G19" i="1"/>
  <c r="J19" i="1"/>
  <c r="M19" i="1"/>
  <c r="P19" i="1"/>
  <c r="S19" i="1"/>
  <c r="V19" i="1"/>
  <c r="Y19" i="1"/>
  <c r="Y13" i="1"/>
  <c r="V13" i="1"/>
  <c r="S13" i="1"/>
  <c r="P13" i="1"/>
  <c r="M13" i="1"/>
  <c r="J13" i="1"/>
  <c r="G13" i="1"/>
</calcChain>
</file>

<file path=xl/sharedStrings.xml><?xml version="1.0" encoding="utf-8"?>
<sst xmlns="http://schemas.openxmlformats.org/spreadsheetml/2006/main" count="14" uniqueCount="14">
  <si>
    <t>Výnosové křivky - plantáž RRD</t>
  </si>
  <si>
    <t>Verze:</t>
  </si>
  <si>
    <t>Aktualizace Weger - 2025</t>
  </si>
  <si>
    <t>t(sur)/ha, 3 roky obmýtí</t>
  </si>
  <si>
    <t>založení</t>
  </si>
  <si>
    <t>Třída</t>
  </si>
  <si>
    <t>t(suš.)/ha,rok</t>
  </si>
  <si>
    <t>PO 0</t>
  </si>
  <si>
    <t>PO 1 (nepříznivá)</t>
  </si>
  <si>
    <t>PO 2 (málo příznivá)</t>
  </si>
  <si>
    <t>PO 3 (příznivá)</t>
  </si>
  <si>
    <t>PO 4 (nadpr. příznivá)</t>
  </si>
  <si>
    <t>PO 5 (velmi příznivá)</t>
  </si>
  <si>
    <t>PO 6 (optimální)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</si>
</sst>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b/>
      <sz val="11"/>
      <name val="Calibri"/>
      <family val="2"/>
    </font>
    <font>
      <i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3" fillId="0" borderId="0" xfId="0" applyFont="1"/>
    <xf numFmtId="0" fontId="2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 applyAlignment="1">
      <alignment horizontal="center" vertical="center"/>
    </xf>
    <xf numFmtId="0" fontId="1" fillId="0" borderId="0" xfId="0" applyFont="1"/>
    <xf numFmtId="0" fontId="0" fillId="0" borderId="0" xfId="0"/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6"/>
  <sheetViews>
    <sheetView tabSelected="1" workbookViewId="0">
      <selection activeCell="G27" sqref="G27"/>
    </sheetView>
  </sheetViews>
  <sheetFormatPr baseColWidth="10" defaultColWidth="8.83203125" defaultRowHeight="15" x14ac:dyDescent="0.2"/>
  <cols>
    <col min="1" max="1" width="22" customWidth="1"/>
    <col min="2" max="2" width="15" customWidth="1"/>
    <col min="3" max="25" width="7" customWidth="1"/>
  </cols>
  <sheetData>
    <row r="1" spans="1:25" ht="16" x14ac:dyDescent="0.2">
      <c r="A1" s="10" t="s">
        <v>0</v>
      </c>
      <c r="B1" s="11"/>
      <c r="C1" s="11"/>
    </row>
    <row r="2" spans="1:25" x14ac:dyDescent="0.2">
      <c r="A2" s="1" t="s">
        <v>1</v>
      </c>
      <c r="B2" t="s">
        <v>2</v>
      </c>
      <c r="E2" s="2" t="s">
        <v>3</v>
      </c>
    </row>
    <row r="3" spans="1:25" x14ac:dyDescent="0.2">
      <c r="C3" s="3" t="s">
        <v>4</v>
      </c>
    </row>
    <row r="4" spans="1:25" x14ac:dyDescent="0.2">
      <c r="A4" s="4" t="s">
        <v>5</v>
      </c>
      <c r="B4" s="4" t="s">
        <v>6</v>
      </c>
      <c r="C4" s="4">
        <v>2024</v>
      </c>
      <c r="D4" s="5">
        <v>2025</v>
      </c>
      <c r="E4" s="4">
        <v>2026</v>
      </c>
      <c r="F4" s="4">
        <v>2027</v>
      </c>
      <c r="G4" s="4">
        <v>2028</v>
      </c>
      <c r="H4" s="4">
        <v>2029</v>
      </c>
      <c r="I4" s="4">
        <v>2030</v>
      </c>
      <c r="J4" s="4">
        <v>2031</v>
      </c>
      <c r="K4" s="4">
        <v>2032</v>
      </c>
      <c r="L4" s="4">
        <v>2033</v>
      </c>
      <c r="M4" s="4">
        <v>2034</v>
      </c>
      <c r="N4" s="4">
        <v>2035</v>
      </c>
      <c r="O4" s="4">
        <v>2036</v>
      </c>
      <c r="P4" s="4">
        <v>2037</v>
      </c>
      <c r="Q4" s="4">
        <v>2038</v>
      </c>
      <c r="R4" s="4">
        <v>2039</v>
      </c>
      <c r="S4" s="4">
        <v>2040</v>
      </c>
      <c r="T4" s="4">
        <v>2041</v>
      </c>
      <c r="U4" s="4">
        <v>2042</v>
      </c>
      <c r="V4" s="4">
        <v>2043</v>
      </c>
      <c r="W4" s="4">
        <v>2044</v>
      </c>
      <c r="X4" s="4">
        <v>2045</v>
      </c>
      <c r="Y4" s="4">
        <v>2046</v>
      </c>
    </row>
    <row r="5" spans="1:25" x14ac:dyDescent="0.2">
      <c r="A5" s="6" t="s">
        <v>7</v>
      </c>
      <c r="B5" s="7">
        <v>2</v>
      </c>
      <c r="C5" s="8"/>
      <c r="D5" s="8"/>
      <c r="E5" s="8"/>
      <c r="F5" s="8"/>
      <c r="G5" s="9">
        <v>1.9</v>
      </c>
      <c r="H5" s="8"/>
      <c r="I5" s="8"/>
      <c r="J5" s="9">
        <v>12.8</v>
      </c>
      <c r="K5" s="8"/>
      <c r="L5" s="8"/>
      <c r="M5" s="9">
        <v>21.1</v>
      </c>
      <c r="N5" s="8"/>
      <c r="O5" s="8"/>
      <c r="P5" s="9">
        <v>21.1</v>
      </c>
      <c r="Q5" s="8"/>
      <c r="R5" s="8"/>
      <c r="S5" s="9">
        <v>17.899999999999999</v>
      </c>
      <c r="T5" s="8"/>
      <c r="U5" s="8"/>
      <c r="V5" s="9">
        <v>11.5</v>
      </c>
      <c r="W5" s="8"/>
      <c r="X5" s="8"/>
      <c r="Y5" s="9">
        <v>3.2</v>
      </c>
    </row>
    <row r="6" spans="1:25" x14ac:dyDescent="0.2">
      <c r="A6" s="6" t="s">
        <v>8</v>
      </c>
      <c r="B6" s="7">
        <v>4</v>
      </c>
      <c r="C6" s="8"/>
      <c r="D6" s="8"/>
      <c r="E6" s="8"/>
      <c r="F6" s="8"/>
      <c r="G6" s="9">
        <v>3.2</v>
      </c>
      <c r="H6" s="8"/>
      <c r="I6" s="8"/>
      <c r="J6" s="9">
        <v>25.5</v>
      </c>
      <c r="K6" s="8"/>
      <c r="L6" s="8"/>
      <c r="M6" s="9">
        <v>38.299999999999997</v>
      </c>
      <c r="N6" s="8"/>
      <c r="O6" s="8"/>
      <c r="P6" s="9">
        <v>41.5</v>
      </c>
      <c r="Q6" s="8"/>
      <c r="R6" s="8"/>
      <c r="S6" s="9">
        <v>38.299999999999997</v>
      </c>
      <c r="T6" s="8"/>
      <c r="U6" s="8"/>
      <c r="V6" s="9">
        <v>25.5</v>
      </c>
      <c r="W6" s="8"/>
      <c r="X6" s="8"/>
      <c r="Y6" s="9">
        <v>6.4</v>
      </c>
    </row>
    <row r="7" spans="1:25" x14ac:dyDescent="0.2">
      <c r="A7" s="6" t="s">
        <v>9</v>
      </c>
      <c r="B7" s="7">
        <v>6</v>
      </c>
      <c r="C7" s="8"/>
      <c r="D7" s="8"/>
      <c r="E7" s="8"/>
      <c r="F7" s="8"/>
      <c r="G7" s="9">
        <v>16</v>
      </c>
      <c r="H7" s="8"/>
      <c r="I7" s="8"/>
      <c r="J7" s="9">
        <v>31.9</v>
      </c>
      <c r="K7" s="8"/>
      <c r="L7" s="8"/>
      <c r="M7" s="9">
        <v>51.1</v>
      </c>
      <c r="N7" s="8"/>
      <c r="O7" s="8"/>
      <c r="P7" s="9">
        <v>54.3</v>
      </c>
      <c r="Q7" s="8"/>
      <c r="R7" s="8"/>
      <c r="S7" s="9">
        <v>51.1</v>
      </c>
      <c r="T7" s="8"/>
      <c r="U7" s="8"/>
      <c r="V7" s="9">
        <v>38.299999999999997</v>
      </c>
      <c r="W7" s="8"/>
      <c r="X7" s="8"/>
      <c r="Y7" s="9">
        <v>25.5</v>
      </c>
    </row>
    <row r="8" spans="1:25" x14ac:dyDescent="0.2">
      <c r="A8" s="6" t="s">
        <v>10</v>
      </c>
      <c r="B8" s="7">
        <v>8</v>
      </c>
      <c r="C8" s="8"/>
      <c r="D8" s="8"/>
      <c r="E8" s="8"/>
      <c r="F8" s="8"/>
      <c r="G8" s="9">
        <v>25.5</v>
      </c>
      <c r="H8" s="8"/>
      <c r="I8" s="8"/>
      <c r="J8" s="9">
        <v>51.1</v>
      </c>
      <c r="K8" s="8"/>
      <c r="L8" s="8"/>
      <c r="M8" s="9">
        <v>63.8</v>
      </c>
      <c r="N8" s="8"/>
      <c r="O8" s="8"/>
      <c r="P8" s="9">
        <v>70.2</v>
      </c>
      <c r="Q8" s="8"/>
      <c r="R8" s="8"/>
      <c r="S8" s="9">
        <v>63.8</v>
      </c>
      <c r="T8" s="8"/>
      <c r="U8" s="8"/>
      <c r="V8" s="9">
        <v>51.1</v>
      </c>
      <c r="W8" s="8"/>
      <c r="X8" s="8"/>
      <c r="Y8" s="9">
        <v>31.9</v>
      </c>
    </row>
    <row r="9" spans="1:25" x14ac:dyDescent="0.2">
      <c r="A9" s="6" t="s">
        <v>11</v>
      </c>
      <c r="B9" s="7">
        <v>10</v>
      </c>
      <c r="C9" s="8"/>
      <c r="D9" s="8"/>
      <c r="E9" s="8"/>
      <c r="F9" s="8"/>
      <c r="G9" s="9">
        <v>28.7</v>
      </c>
      <c r="H9" s="8"/>
      <c r="I9" s="8"/>
      <c r="J9" s="9">
        <v>67</v>
      </c>
      <c r="K9" s="8"/>
      <c r="L9" s="8"/>
      <c r="M9" s="9">
        <v>83</v>
      </c>
      <c r="N9" s="8"/>
      <c r="O9" s="8"/>
      <c r="P9" s="9">
        <v>83</v>
      </c>
      <c r="Q9" s="8"/>
      <c r="R9" s="8"/>
      <c r="S9" s="9">
        <v>76.599999999999994</v>
      </c>
      <c r="T9" s="8"/>
      <c r="U9" s="8"/>
      <c r="V9" s="9">
        <v>63.8</v>
      </c>
      <c r="W9" s="8"/>
      <c r="X9" s="8"/>
      <c r="Y9" s="9">
        <v>44.7</v>
      </c>
    </row>
    <row r="10" spans="1:25" x14ac:dyDescent="0.2">
      <c r="A10" s="6" t="s">
        <v>12</v>
      </c>
      <c r="B10" s="7">
        <v>12</v>
      </c>
      <c r="C10" s="8"/>
      <c r="D10" s="8"/>
      <c r="E10" s="8"/>
      <c r="F10" s="8"/>
      <c r="G10" s="9">
        <v>31.9</v>
      </c>
      <c r="H10" s="8"/>
      <c r="I10" s="8"/>
      <c r="J10" s="9">
        <v>89.4</v>
      </c>
      <c r="K10" s="8"/>
      <c r="L10" s="8"/>
      <c r="M10" s="9">
        <v>102.1</v>
      </c>
      <c r="N10" s="8"/>
      <c r="O10" s="8"/>
      <c r="P10" s="9">
        <v>102.1</v>
      </c>
      <c r="Q10" s="8"/>
      <c r="R10" s="8"/>
      <c r="S10" s="9">
        <v>89.4</v>
      </c>
      <c r="T10" s="8"/>
      <c r="U10" s="8"/>
      <c r="V10" s="9">
        <v>70.2</v>
      </c>
      <c r="W10" s="8"/>
      <c r="X10" s="8"/>
      <c r="Y10" s="9">
        <v>51.1</v>
      </c>
    </row>
    <row r="11" spans="1:25" x14ac:dyDescent="0.2">
      <c r="A11" s="6" t="s">
        <v>13</v>
      </c>
      <c r="B11" s="7">
        <v>14</v>
      </c>
      <c r="C11" s="8"/>
      <c r="D11" s="8"/>
      <c r="E11" s="8"/>
      <c r="F11" s="8"/>
      <c r="G11" s="9">
        <v>37</v>
      </c>
      <c r="H11" s="8"/>
      <c r="I11" s="8"/>
      <c r="J11" s="9">
        <v>106.6</v>
      </c>
      <c r="K11" s="8"/>
      <c r="L11" s="8"/>
      <c r="M11" s="9">
        <v>121.3</v>
      </c>
      <c r="N11" s="8"/>
      <c r="O11" s="8"/>
      <c r="P11" s="9">
        <v>114.9</v>
      </c>
      <c r="Q11" s="8"/>
      <c r="R11" s="8"/>
      <c r="S11" s="9">
        <v>102.1</v>
      </c>
      <c r="T11" s="8"/>
      <c r="U11" s="8"/>
      <c r="V11" s="9">
        <v>83</v>
      </c>
      <c r="W11" s="8"/>
      <c r="X11" s="8"/>
      <c r="Y11" s="9">
        <v>60.6</v>
      </c>
    </row>
    <row r="13" spans="1:25" x14ac:dyDescent="0.2">
      <c r="G13">
        <f>G5/MAX($G5:$Y5)</f>
        <v>9.0047393364928896E-2</v>
      </c>
      <c r="J13">
        <f>J5/MAX($G5:$Y5)</f>
        <v>0.60663507109004744</v>
      </c>
      <c r="M13">
        <f>M5/MAX($G5:$Y5)</f>
        <v>1</v>
      </c>
      <c r="P13">
        <f>P5/MAX($G5:$Y5)</f>
        <v>1</v>
      </c>
      <c r="S13">
        <f>S5/MAX($G5:$Y5)</f>
        <v>0.84834123222748803</v>
      </c>
      <c r="V13">
        <f>V5/MAX($G5:$Y5)</f>
        <v>0.54502369668246442</v>
      </c>
      <c r="Y13">
        <f>Y5/MAX($G5:$Y5)</f>
        <v>0.15165876777251186</v>
      </c>
    </row>
    <row r="14" spans="1:25" x14ac:dyDescent="0.2">
      <c r="G14">
        <f t="shared" ref="G14:G23" si="0">G6/MAX($G6:$Y6)</f>
        <v>7.7108433734939766E-2</v>
      </c>
      <c r="J14">
        <f t="shared" ref="J14:J23" si="1">J6/MAX($G6:$Y6)</f>
        <v>0.61445783132530118</v>
      </c>
      <c r="M14">
        <f t="shared" ref="M14:M23" si="2">M6/MAX($G6:$Y6)</f>
        <v>0.92289156626506019</v>
      </c>
      <c r="P14">
        <f t="shared" ref="P14:P23" si="3">P6/MAX($G6:$Y6)</f>
        <v>1</v>
      </c>
      <c r="S14">
        <f t="shared" ref="S14:S23" si="4">S6/MAX($G6:$Y6)</f>
        <v>0.92289156626506019</v>
      </c>
      <c r="V14">
        <f t="shared" ref="V14:V23" si="5">V6/MAX($G6:$Y6)</f>
        <v>0.61445783132530118</v>
      </c>
      <c r="Y14">
        <f t="shared" ref="Y14:Y23" si="6">Y6/MAX($G6:$Y6)</f>
        <v>0.15421686746987953</v>
      </c>
    </row>
    <row r="15" spans="1:25" x14ac:dyDescent="0.2">
      <c r="G15">
        <f t="shared" si="0"/>
        <v>0.29465930018416209</v>
      </c>
      <c r="J15">
        <f t="shared" si="1"/>
        <v>0.58747697974217317</v>
      </c>
      <c r="M15">
        <f t="shared" si="2"/>
        <v>0.94106813996316763</v>
      </c>
      <c r="P15">
        <f t="shared" si="3"/>
        <v>1</v>
      </c>
      <c r="S15">
        <f t="shared" si="4"/>
        <v>0.94106813996316763</v>
      </c>
      <c r="V15">
        <f t="shared" si="5"/>
        <v>0.70534069981583791</v>
      </c>
      <c r="Y15">
        <f t="shared" si="6"/>
        <v>0.46961325966850831</v>
      </c>
    </row>
    <row r="16" spans="1:25" x14ac:dyDescent="0.2">
      <c r="G16">
        <f t="shared" si="0"/>
        <v>0.36324786324786323</v>
      </c>
      <c r="J16">
        <f t="shared" si="1"/>
        <v>0.72792022792022792</v>
      </c>
      <c r="M16">
        <f t="shared" si="2"/>
        <v>0.90883190883190879</v>
      </c>
      <c r="P16">
        <f t="shared" si="3"/>
        <v>1</v>
      </c>
      <c r="S16">
        <f t="shared" si="4"/>
        <v>0.90883190883190879</v>
      </c>
      <c r="V16">
        <f t="shared" si="5"/>
        <v>0.72792022792022792</v>
      </c>
      <c r="Y16">
        <f t="shared" si="6"/>
        <v>0.45441595441595439</v>
      </c>
    </row>
    <row r="17" spans="7:25" x14ac:dyDescent="0.2">
      <c r="G17">
        <f t="shared" si="0"/>
        <v>0.3457831325301205</v>
      </c>
      <c r="J17">
        <f t="shared" si="1"/>
        <v>0.80722891566265065</v>
      </c>
      <c r="M17">
        <f t="shared" si="2"/>
        <v>1</v>
      </c>
      <c r="P17">
        <f t="shared" si="3"/>
        <v>1</v>
      </c>
      <c r="S17">
        <f t="shared" si="4"/>
        <v>0.92289156626506019</v>
      </c>
      <c r="V17">
        <f t="shared" si="5"/>
        <v>0.76867469879518069</v>
      </c>
      <c r="Y17">
        <f t="shared" si="6"/>
        <v>0.53855421686746996</v>
      </c>
    </row>
    <row r="18" spans="7:25" x14ac:dyDescent="0.2">
      <c r="G18">
        <f t="shared" si="0"/>
        <v>0.31243878550440746</v>
      </c>
      <c r="J18">
        <f t="shared" si="1"/>
        <v>0.87561214495592565</v>
      </c>
      <c r="M18">
        <f t="shared" si="2"/>
        <v>1</v>
      </c>
      <c r="P18">
        <f t="shared" si="3"/>
        <v>1</v>
      </c>
      <c r="S18">
        <f t="shared" si="4"/>
        <v>0.87561214495592565</v>
      </c>
      <c r="V18">
        <f t="shared" si="5"/>
        <v>0.6875612144955926</v>
      </c>
      <c r="Y18">
        <f t="shared" si="6"/>
        <v>0.50048971596474046</v>
      </c>
    </row>
    <row r="19" spans="7:25" x14ac:dyDescent="0.2">
      <c r="G19">
        <f t="shared" si="0"/>
        <v>0.30502885408079145</v>
      </c>
      <c r="J19">
        <f t="shared" si="1"/>
        <v>0.87881286067600983</v>
      </c>
      <c r="M19">
        <f t="shared" si="2"/>
        <v>1</v>
      </c>
      <c r="P19">
        <f t="shared" si="3"/>
        <v>0.94723825226710645</v>
      </c>
      <c r="S19">
        <f t="shared" si="4"/>
        <v>0.84171475680131902</v>
      </c>
      <c r="V19">
        <f t="shared" si="5"/>
        <v>0.68425391591096452</v>
      </c>
      <c r="Y19">
        <f t="shared" si="6"/>
        <v>0.49958779884583682</v>
      </c>
    </row>
    <row r="22" spans="7:25" x14ac:dyDescent="0.2">
      <c r="G22">
        <f>AVERAGE(G14:G15)</f>
        <v>0.18588386695955092</v>
      </c>
      <c r="J22">
        <f>AVERAGE(J14:J15)</f>
        <v>0.60096740553373718</v>
      </c>
      <c r="M22">
        <f>AVERAGE(M14:M15)</f>
        <v>0.93197985311411391</v>
      </c>
      <c r="P22">
        <f>AVERAGE(P14:P15)</f>
        <v>1</v>
      </c>
      <c r="S22">
        <f>AVERAGE(S14:S15)</f>
        <v>0.93197985311411391</v>
      </c>
      <c r="V22">
        <f>AVERAGE(V14:V15)</f>
        <v>0.65989926557056955</v>
      </c>
      <c r="Y22">
        <f>AVERAGE(Y14:Y15)</f>
        <v>0.31191506356919391</v>
      </c>
    </row>
    <row r="24" spans="7:25" x14ac:dyDescent="0.2">
      <c r="G24">
        <f>AVERAGE(G16:G17)</f>
        <v>0.35451549788899184</v>
      </c>
      <c r="J24">
        <f>AVERAGE(J16:J17)</f>
        <v>0.76757457179143929</v>
      </c>
      <c r="M24">
        <f>AVERAGE(M16:M17)</f>
        <v>0.95441595441595439</v>
      </c>
      <c r="P24">
        <f>AVERAGE(P16:P17)</f>
        <v>1</v>
      </c>
      <c r="S24">
        <f>AVERAGE(S16:S17)</f>
        <v>0.91586173754848454</v>
      </c>
      <c r="V24">
        <f>AVERAGE(V16:V17)</f>
        <v>0.74829746335770431</v>
      </c>
      <c r="Y24">
        <f>AVERAGE(Y16:Y17)</f>
        <v>0.49648508564171218</v>
      </c>
    </row>
    <row r="26" spans="7:25" x14ac:dyDescent="0.2">
      <c r="G26">
        <f>AVERAGE(G18:G19)</f>
        <v>0.30873381979259945</v>
      </c>
      <c r="J26">
        <f>AVERAGE(J18:J19)</f>
        <v>0.87721250281596774</v>
      </c>
      <c r="M26">
        <f>AVERAGE(M18:M19)</f>
        <v>1</v>
      </c>
      <c r="P26">
        <f>AVERAGE(P18:P19)</f>
        <v>0.97361912613355317</v>
      </c>
      <c r="S26">
        <f>AVERAGE(S18:S19)</f>
        <v>0.85866345087862239</v>
      </c>
      <c r="V26">
        <f>AVERAGE(V18:V19)</f>
        <v>0.68590756520327856</v>
      </c>
      <c r="Y26">
        <f>AVERAGE(Y18:Y19)</f>
        <v>0.50003875740528869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Výnosové křivky RRD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Dostal, David</cp:lastModifiedBy>
  <dcterms:created xsi:type="dcterms:W3CDTF">2026-05-04T06:27:04Z</dcterms:created>
  <dcterms:modified xsi:type="dcterms:W3CDTF">2026-05-04T07:15:17Z</dcterms:modified>
</cp:coreProperties>
</file>